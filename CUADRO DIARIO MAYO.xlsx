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 tabRatio="682" firstSheet="6" activeTab="24"/>
  </bookViews>
  <sheets>
    <sheet name="27 (4)" sheetId="77" state="hidden" r:id="rId1"/>
    <sheet name="01" sheetId="238" r:id="rId2"/>
    <sheet name="02" sheetId="279" r:id="rId3"/>
    <sheet name="03" sheetId="280" r:id="rId4"/>
    <sheet name="04" sheetId="281" r:id="rId5"/>
    <sheet name="05" sheetId="282" r:id="rId6"/>
    <sheet name="06" sheetId="283" r:id="rId7"/>
    <sheet name="07" sheetId="284" r:id="rId8"/>
    <sheet name="08" sheetId="285" r:id="rId9"/>
    <sheet name="09" sheetId="286" r:id="rId10"/>
    <sheet name="10" sheetId="287" r:id="rId11"/>
    <sheet name="11" sheetId="288" r:id="rId12"/>
    <sheet name="12" sheetId="289" r:id="rId13"/>
    <sheet name="13" sheetId="290" r:id="rId14"/>
    <sheet name="14" sheetId="291" r:id="rId15"/>
    <sheet name="15" sheetId="292" r:id="rId16"/>
    <sheet name="16" sheetId="293" r:id="rId17"/>
    <sheet name="17" sheetId="294" r:id="rId18"/>
    <sheet name="18" sheetId="295" r:id="rId19"/>
    <sheet name="19" sheetId="296" r:id="rId20"/>
    <sheet name="20" sheetId="297" r:id="rId21"/>
    <sheet name="21" sheetId="298" r:id="rId22"/>
    <sheet name="22" sheetId="299" r:id="rId23"/>
    <sheet name="23" sheetId="300" r:id="rId24"/>
    <sheet name="24" sheetId="301" r:id="rId25"/>
  </sheets>
  <calcPr calcId="152511"/>
</workbook>
</file>

<file path=xl/calcChain.xml><?xml version="1.0" encoding="utf-8"?>
<calcChain xmlns="http://schemas.openxmlformats.org/spreadsheetml/2006/main">
  <c r="F49" i="77" l="1"/>
  <c r="F23" i="77"/>
  <c r="F29" i="77" s="1"/>
  <c r="F51" i="77" s="1"/>
  <c r="F16" i="77"/>
</calcChain>
</file>

<file path=xl/sharedStrings.xml><?xml version="1.0" encoding="utf-8"?>
<sst xmlns="http://schemas.openxmlformats.org/spreadsheetml/2006/main" count="1228" uniqueCount="49">
  <si>
    <t>DIVERSIONES DE COLOMBIA</t>
  </si>
  <si>
    <t>NIT. 830,136,025-1</t>
  </si>
  <si>
    <t>ARQUEO FISCAL DIARIO</t>
  </si>
  <si>
    <t>VALOR</t>
  </si>
  <si>
    <t>DETALLE</t>
  </si>
  <si>
    <t>CODIGO</t>
  </si>
  <si>
    <t>CONCEPTO</t>
  </si>
  <si>
    <t xml:space="preserve">       </t>
  </si>
  <si>
    <t>OPERACIONALES</t>
  </si>
  <si>
    <t>Ventas Caja</t>
  </si>
  <si>
    <t xml:space="preserve"> </t>
  </si>
  <si>
    <t>Venta Confiteria</t>
  </si>
  <si>
    <t>Ventas no registrada</t>
  </si>
  <si>
    <t>Fiesta Infantil</t>
  </si>
  <si>
    <t>TOTAL INGRESOS</t>
  </si>
  <si>
    <t>DINERO EN CAJA Y/O CONSIGNACIONES EN BANCOS</t>
  </si>
  <si>
    <t>Efectivo en cajax consignar (-Retiros)</t>
  </si>
  <si>
    <t>Tarjeta Debito/Credito</t>
  </si>
  <si>
    <t>Consignaciones Bancos) caja menor</t>
  </si>
  <si>
    <t>TOTAL</t>
  </si>
  <si>
    <t>CxC x Creditos Prestamos</t>
  </si>
  <si>
    <t>Anticipo a Contratistas y Otros</t>
  </si>
  <si>
    <t>Reembolso de Caja Menor</t>
  </si>
  <si>
    <t>GASTOS</t>
  </si>
  <si>
    <t>Mantenimiento y Reparaciones</t>
  </si>
  <si>
    <t>Pagos Tecnico - Auditor Mecanico</t>
  </si>
  <si>
    <t>Servicio Publicos y Telefono</t>
  </si>
  <si>
    <t>Turnos</t>
  </si>
  <si>
    <t>Transporte, Fletes y Acarreos Maquinaria y Repuestos</t>
  </si>
  <si>
    <t xml:space="preserve">Fiestas </t>
  </si>
  <si>
    <t>Compra redencion</t>
  </si>
  <si>
    <t>Utiles-Papeleria y Fotocopias</t>
  </si>
  <si>
    <t>Base Refrigerios y H20</t>
  </si>
  <si>
    <t>Publicidad y avisos varios</t>
  </si>
  <si>
    <t>Viaticos-Pago hotel</t>
  </si>
  <si>
    <t>Tarjetas malas y devoluciones</t>
  </si>
  <si>
    <t>Otros</t>
  </si>
  <si>
    <t>TOTAL GASTOS</t>
  </si>
  <si>
    <t>TOTAL EN CAJA</t>
  </si>
  <si>
    <t>Administrador Parque</t>
  </si>
  <si>
    <t>Nombre</t>
  </si>
  <si>
    <t xml:space="preserve">Firma </t>
  </si>
  <si>
    <t>Firma</t>
  </si>
  <si>
    <t>Bioseguridad</t>
  </si>
  <si>
    <t>Compra de aseo</t>
  </si>
  <si>
    <t>Sobrante( ) Faltante (   )</t>
  </si>
  <si>
    <t>Peluches</t>
  </si>
  <si>
    <t>PAGO DE NOMINA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</si>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</sst>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\-&quot;$&quot;#,##0"/>
    <numFmt numFmtId="43" formatCode="_-* #,##0.00_-;\-* #,##0.00_-;_-* &quot;-&quot;??_-;_-@_-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6"/>
      <name val="Arial"/>
      <family val="2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1" xfId="0" applyFont="1" applyFill="1" applyBorder="1"/>
    <xf numFmtId="0" fontId="9" fillId="2" borderId="0" xfId="0" applyFont="1" applyFill="1" applyBorder="1"/>
    <xf numFmtId="0" fontId="9" fillId="2" borderId="4" xfId="0" applyFont="1" applyFill="1" applyBorder="1"/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2" borderId="0" xfId="0" applyFont="1" applyFill="1" applyBorder="1" applyAlignment="1">
      <alignment horizontal="left"/>
    </xf>
    <xf numFmtId="0" fontId="10" fillId="2" borderId="0" xfId="0" applyFont="1" applyFill="1" applyBorder="1"/>
    <xf numFmtId="164" fontId="3" fillId="2" borderId="2" xfId="1" applyNumberFormat="1" applyFont="1" applyFill="1" applyBorder="1"/>
    <xf numFmtId="0" fontId="3" fillId="2" borderId="2" xfId="0" applyFont="1" applyFill="1" applyBorder="1"/>
    <xf numFmtId="164" fontId="3" fillId="2" borderId="0" xfId="1" applyNumberFormat="1" applyFont="1" applyFill="1" applyBorder="1"/>
    <xf numFmtId="0" fontId="7" fillId="2" borderId="0" xfId="0" applyFont="1" applyFill="1" applyBorder="1"/>
    <xf numFmtId="164" fontId="6" fillId="2" borderId="2" xfId="1" applyNumberFormat="1" applyFont="1" applyFill="1" applyBorder="1" applyAlignment="1">
      <alignment horizontal="center" vertical="center"/>
    </xf>
    <xf numFmtId="164" fontId="6" fillId="3" borderId="2" xfId="1" applyNumberFormat="1" applyFont="1" applyFill="1" applyBorder="1" applyAlignment="1">
      <alignment horizontal="center" vertical="center"/>
    </xf>
    <xf numFmtId="6" fontId="6" fillId="2" borderId="2" xfId="0" applyNumberFormat="1" applyFont="1" applyFill="1" applyBorder="1" applyAlignment="1">
      <alignment horizontal="right"/>
    </xf>
    <xf numFmtId="164" fontId="3" fillId="0" borderId="2" xfId="1" applyNumberFormat="1" applyFont="1" applyFill="1" applyBorder="1" applyAlignment="1">
      <alignment horizontal="right"/>
    </xf>
    <xf numFmtId="6" fontId="6" fillId="4" borderId="2" xfId="0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  <xf numFmtId="0" fontId="11" fillId="2" borderId="0" xfId="0" applyFont="1" applyFill="1" applyBorder="1"/>
    <xf numFmtId="164" fontId="3" fillId="2" borderId="0" xfId="0" applyNumberFormat="1" applyFont="1" applyFill="1" applyBorder="1"/>
    <xf numFmtId="0" fontId="3" fillId="2" borderId="2" xfId="0" applyFont="1" applyFill="1" applyBorder="1" applyAlignment="1">
      <alignment wrapText="1"/>
    </xf>
    <xf numFmtId="164" fontId="12" fillId="3" borderId="5" xfId="1" applyNumberFormat="1" applyFont="1" applyFill="1" applyBorder="1"/>
    <xf numFmtId="0" fontId="3" fillId="2" borderId="6" xfId="0" applyFont="1" applyFill="1" applyBorder="1"/>
    <xf numFmtId="164" fontId="3" fillId="2" borderId="2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/>
    </xf>
    <xf numFmtId="0" fontId="6" fillId="2" borderId="0" xfId="0" applyFont="1" applyFill="1" applyBorder="1"/>
    <xf numFmtId="164" fontId="2" fillId="3" borderId="5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/>
    <xf numFmtId="164" fontId="9" fillId="2" borderId="0" xfId="1" applyNumberFormat="1" applyFont="1" applyFill="1" applyBorder="1"/>
    <xf numFmtId="164" fontId="3" fillId="2" borderId="0" xfId="0" applyNumberFormat="1" applyFont="1" applyFill="1" applyBorder="1" applyAlignment="1">
      <alignment wrapText="1"/>
    </xf>
    <xf numFmtId="0" fontId="13" fillId="2" borderId="0" xfId="0" applyFont="1" applyFill="1" applyBorder="1" applyAlignment="1">
      <alignment vertical="center" wrapText="1"/>
    </xf>
    <xf numFmtId="0" fontId="3" fillId="2" borderId="7" xfId="0" applyFont="1" applyFill="1" applyBorder="1"/>
    <xf numFmtId="0" fontId="14" fillId="2" borderId="8" xfId="0" applyFont="1" applyFill="1" applyBorder="1"/>
    <xf numFmtId="0" fontId="3" fillId="2" borderId="8" xfId="0" applyFont="1" applyFill="1" applyBorder="1"/>
    <xf numFmtId="0" fontId="3" fillId="0" borderId="8" xfId="0" applyFont="1" applyFill="1" applyBorder="1"/>
    <xf numFmtId="0" fontId="3" fillId="2" borderId="9" xfId="0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workbookViewId="0">
      <selection activeCell="F4" sqref="F4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27</v>
      </c>
      <c r="G3" s="5">
        <v>2</v>
      </c>
      <c r="H3" s="6">
        <v>24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/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f>SUM(F11:F15)</f>
        <v>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/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f>+F16+F19-F20-F21</f>
        <v>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>
        <f>F23+F26-F27</f>
        <v>0</v>
      </c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f>SUM(F32:F47)</f>
        <v>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f>-F47-F46-F45-F44-F43-F42-F41-F40-F39-F38-F37-F36-F35-F34-F33-F32+F29</f>
        <v>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A33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1597000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1597000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604000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993000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>
        <v>200000</v>
      </c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>
        <v>24000</v>
      </c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>
        <v>499500</v>
      </c>
      <c r="G47" s="38" t="s">
        <v>47</v>
      </c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723500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269500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1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2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1587200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1587200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232000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1355200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>
        <v>15000</v>
      </c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>
        <v>963300</v>
      </c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1005000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350200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1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3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2355200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2355200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327000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2028200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>
        <v>55000</v>
      </c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45000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>
        <v>15000</v>
      </c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>
        <v>1416100</v>
      </c>
      <c r="G47" s="38" t="s">
        <v>47</v>
      </c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1531100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497100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1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4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288700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288700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/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288700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>
        <v>29300</v>
      </c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>
        <v>9700</v>
      </c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39000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249700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B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5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282000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282000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40000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242000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>
        <v>3500</v>
      </c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>
        <v>15000</v>
      </c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>
        <v>5000</v>
      </c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23500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218500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6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507000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507000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182000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325000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40000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40000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285000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7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452900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452900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35000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417900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>
        <v>200000</v>
      </c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40000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240000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177900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4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8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248000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248000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55000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193000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/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193000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2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9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982000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982000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196000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786000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40000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40000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746000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10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1572200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1572200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230000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1342200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45000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45000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1297200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3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11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401000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401000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28000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373000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>
        <v>4200</v>
      </c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40000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>
        <v>11300</v>
      </c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55500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317500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3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12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334000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334000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87000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247000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40000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40000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207000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13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469000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469000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33000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436000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>
        <v>1700</v>
      </c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1700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434300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D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14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378000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378000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20000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358000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>
        <v>16900</v>
      </c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>
        <v>66000</v>
      </c>
      <c r="G47" s="38" t="s">
        <v>48</v>
      </c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82900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275100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C38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15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216000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216000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10000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206000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/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206000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D38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16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1380000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1380000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143000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1237000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>
        <v>10500</v>
      </c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10500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1226500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B35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17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1669000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1669000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285000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1384000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45000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45000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1339000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B31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18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1712900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1712900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166000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1546900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45000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45000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1501900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B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19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245000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245000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48000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197000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>
        <v>11300</v>
      </c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>
        <v>800</v>
      </c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12100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184900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B33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20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366000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366000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141000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225000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/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225000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B35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21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315000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315000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20000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295000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/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295000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B33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22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448000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448000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/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448000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/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/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448000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opLeftCell="A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23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1432000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1432000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387000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1045000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40000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40000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1005000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9"/>
  <sheetViews>
    <sheetView tabSelected="1" topLeftCell="B30" workbookViewId="0">
      <selection activeCell="F52" sqref="F52"/>
    </sheetView>
  </sheetViews>
  <sheetFormatPr baseColWidth="10" defaultRowHeight="15" x14ac:dyDescent="0.25"/>
  <cols>
    <col min="5" max="5" width="28.85546875" customWidth="1"/>
    <col min="6" max="6" width="14.7109375" customWidth="1"/>
    <col min="7" max="7" width="22.5703125" customWidth="1"/>
  </cols>
  <sheetData>
    <row r="3" spans="2:8" ht="15.75" x14ac:dyDescent="0.25">
      <c r="B3" s="1"/>
      <c r="C3" s="2"/>
      <c r="D3" s="2"/>
      <c r="E3" s="3"/>
      <c r="F3" s="4">
        <v>24</v>
      </c>
      <c r="G3" s="5">
        <v>5</v>
      </c>
      <c r="H3" s="6">
        <v>26</v>
      </c>
    </row>
    <row r="4" spans="2:8" ht="26.25" x14ac:dyDescent="0.4">
      <c r="B4" s="1" t="s">
        <v>0</v>
      </c>
      <c r="C4" s="2"/>
      <c r="D4" s="2"/>
      <c r="E4" s="7"/>
      <c r="F4" s="8"/>
      <c r="G4" s="8"/>
      <c r="H4" s="9"/>
    </row>
    <row r="5" spans="2:8" ht="23.25" x14ac:dyDescent="0.35">
      <c r="B5" s="10" t="s">
        <v>1</v>
      </c>
      <c r="C5" s="11"/>
      <c r="D5" s="11"/>
      <c r="E5" s="12"/>
      <c r="F5" s="12"/>
      <c r="G5" s="12"/>
      <c r="H5" s="13"/>
    </row>
    <row r="6" spans="2:8" ht="18" x14ac:dyDescent="0.25">
      <c r="B6" s="14" t="s">
        <v>2</v>
      </c>
      <c r="C6" s="15"/>
      <c r="D6" s="15"/>
      <c r="E6" s="16"/>
      <c r="F6" s="17" t="s">
        <v>3</v>
      </c>
      <c r="G6" s="17" t="s">
        <v>4</v>
      </c>
      <c r="H6" s="18"/>
    </row>
    <row r="7" spans="2:8" x14ac:dyDescent="0.25">
      <c r="B7" s="19"/>
      <c r="C7" s="3"/>
      <c r="D7" s="3"/>
      <c r="E7" s="20"/>
      <c r="F7" s="20"/>
      <c r="G7" s="20"/>
      <c r="H7" s="21"/>
    </row>
    <row r="8" spans="2:8" x14ac:dyDescent="0.25">
      <c r="B8" s="22" t="s">
        <v>5</v>
      </c>
      <c r="C8" s="16" t="s">
        <v>6</v>
      </c>
      <c r="D8" s="16" t="s">
        <v>7</v>
      </c>
      <c r="E8" s="20"/>
      <c r="F8" s="20"/>
      <c r="G8" s="20"/>
      <c r="H8" s="21"/>
    </row>
    <row r="9" spans="2:8" x14ac:dyDescent="0.25">
      <c r="B9" s="19"/>
      <c r="C9" s="20"/>
      <c r="D9" s="20"/>
      <c r="E9" s="3"/>
      <c r="F9" s="3"/>
      <c r="G9" s="3"/>
      <c r="H9" s="18"/>
    </row>
    <row r="10" spans="2:8" x14ac:dyDescent="0.25">
      <c r="B10" s="23">
        <v>1</v>
      </c>
      <c r="C10" s="24" t="s">
        <v>8</v>
      </c>
      <c r="D10" s="20"/>
      <c r="E10" s="3"/>
      <c r="F10" s="3"/>
      <c r="G10" s="3"/>
      <c r="H10" s="18"/>
    </row>
    <row r="11" spans="2:8" x14ac:dyDescent="0.25">
      <c r="B11" s="23"/>
      <c r="C11" s="25" t="s">
        <v>9</v>
      </c>
      <c r="D11" s="20"/>
      <c r="E11" s="3"/>
      <c r="F11" s="26">
        <v>2102100</v>
      </c>
      <c r="G11" s="27"/>
      <c r="H11" s="18"/>
    </row>
    <row r="12" spans="2:8" x14ac:dyDescent="0.25">
      <c r="B12" s="23" t="s">
        <v>10</v>
      </c>
      <c r="C12" s="25" t="s">
        <v>11</v>
      </c>
      <c r="D12" s="20"/>
      <c r="E12" s="3"/>
      <c r="F12" s="26"/>
      <c r="G12" s="27"/>
      <c r="H12" s="18"/>
    </row>
    <row r="13" spans="2:8" x14ac:dyDescent="0.25">
      <c r="B13" s="23"/>
      <c r="C13" s="25" t="s">
        <v>12</v>
      </c>
      <c r="D13" s="3"/>
      <c r="E13" s="3"/>
      <c r="F13" s="26"/>
      <c r="G13" s="27"/>
      <c r="H13" s="18"/>
    </row>
    <row r="14" spans="2:8" x14ac:dyDescent="0.25">
      <c r="B14" s="23"/>
      <c r="C14" s="25" t="s">
        <v>13</v>
      </c>
      <c r="D14" s="3"/>
      <c r="E14" s="3"/>
      <c r="F14" s="26"/>
      <c r="G14" s="27"/>
      <c r="H14" s="18"/>
    </row>
    <row r="15" spans="2:8" x14ac:dyDescent="0.25">
      <c r="B15" s="23"/>
      <c r="C15" s="20"/>
      <c r="D15" s="3"/>
      <c r="E15" s="3"/>
      <c r="F15" s="28"/>
      <c r="G15" s="3"/>
      <c r="H15" s="18"/>
    </row>
    <row r="16" spans="2:8" x14ac:dyDescent="0.25">
      <c r="B16" s="23"/>
      <c r="C16" s="29" t="s">
        <v>14</v>
      </c>
      <c r="D16" s="3"/>
      <c r="E16" s="3"/>
      <c r="F16" s="30">
        <v>2102100</v>
      </c>
      <c r="G16" s="27"/>
      <c r="H16" s="18"/>
    </row>
    <row r="17" spans="2:8" x14ac:dyDescent="0.25">
      <c r="B17" s="23"/>
      <c r="C17" s="3"/>
      <c r="D17" s="3"/>
      <c r="E17" s="3"/>
      <c r="F17" s="28"/>
      <c r="G17" s="3"/>
      <c r="H17" s="18"/>
    </row>
    <row r="18" spans="2:8" x14ac:dyDescent="0.25">
      <c r="B18" s="23">
        <v>2</v>
      </c>
      <c r="C18" s="29" t="s">
        <v>15</v>
      </c>
      <c r="D18" s="3"/>
      <c r="E18" s="3"/>
      <c r="F18" s="28"/>
      <c r="G18" s="3"/>
      <c r="H18" s="18"/>
    </row>
    <row r="19" spans="2:8" x14ac:dyDescent="0.25">
      <c r="B19" s="23"/>
      <c r="C19" s="25" t="s">
        <v>16</v>
      </c>
      <c r="D19" s="3"/>
      <c r="E19" s="3"/>
      <c r="F19" s="31"/>
      <c r="G19" s="27"/>
      <c r="H19" s="18"/>
    </row>
    <row r="20" spans="2:8" x14ac:dyDescent="0.25">
      <c r="B20" s="23"/>
      <c r="C20" s="25" t="s">
        <v>17</v>
      </c>
      <c r="D20" s="3"/>
      <c r="E20" s="3"/>
      <c r="F20" s="26">
        <v>639000</v>
      </c>
      <c r="G20" s="32"/>
      <c r="H20" s="18"/>
    </row>
    <row r="21" spans="2:8" x14ac:dyDescent="0.25">
      <c r="B21" s="23"/>
      <c r="C21" s="25" t="s">
        <v>18</v>
      </c>
      <c r="D21" s="3"/>
      <c r="E21" s="3"/>
      <c r="F21" s="33"/>
      <c r="G21" s="34"/>
      <c r="H21" s="18"/>
    </row>
    <row r="22" spans="2:8" x14ac:dyDescent="0.25">
      <c r="B22" s="23"/>
      <c r="C22" s="20"/>
      <c r="D22" s="3"/>
      <c r="E22" s="3"/>
      <c r="F22" s="28"/>
      <c r="G22" s="35"/>
      <c r="H22" s="18"/>
    </row>
    <row r="23" spans="2:8" x14ac:dyDescent="0.25">
      <c r="B23" s="23"/>
      <c r="C23" s="36" t="s">
        <v>19</v>
      </c>
      <c r="D23" s="3"/>
      <c r="E23" s="3"/>
      <c r="F23" s="30">
        <v>1463100</v>
      </c>
      <c r="G23" s="27"/>
      <c r="H23" s="18"/>
    </row>
    <row r="24" spans="2:8" x14ac:dyDescent="0.25">
      <c r="B24" s="23"/>
      <c r="C24" s="3"/>
      <c r="D24" s="3"/>
      <c r="E24" s="3"/>
      <c r="F24" s="28"/>
      <c r="G24" s="37"/>
      <c r="H24" s="18"/>
    </row>
    <row r="25" spans="2:8" x14ac:dyDescent="0.25">
      <c r="B25" s="23">
        <v>3</v>
      </c>
      <c r="C25" s="16" t="s">
        <v>20</v>
      </c>
      <c r="D25" s="3"/>
      <c r="E25" s="3"/>
      <c r="F25" s="28"/>
      <c r="G25" s="3"/>
      <c r="H25" s="18"/>
    </row>
    <row r="26" spans="2:8" x14ac:dyDescent="0.25">
      <c r="B26" s="23"/>
      <c r="C26" s="25" t="s">
        <v>21</v>
      </c>
      <c r="D26" s="3"/>
      <c r="E26" s="3"/>
      <c r="F26" s="26"/>
      <c r="G26" s="38"/>
      <c r="H26" s="18"/>
    </row>
    <row r="27" spans="2:8" x14ac:dyDescent="0.25">
      <c r="B27" s="23"/>
      <c r="C27" s="25" t="s">
        <v>22</v>
      </c>
      <c r="D27" s="3"/>
      <c r="E27" s="3"/>
      <c r="F27" s="26"/>
      <c r="G27" s="27"/>
      <c r="H27" s="18"/>
    </row>
    <row r="28" spans="2:8" ht="15.75" thickBot="1" x14ac:dyDescent="0.3">
      <c r="B28" s="23"/>
      <c r="C28" s="20"/>
      <c r="D28" s="3"/>
      <c r="E28" s="3"/>
      <c r="F28" s="28"/>
      <c r="G28" s="3"/>
      <c r="H28" s="18"/>
    </row>
    <row r="29" spans="2:8" ht="16.5" thickBot="1" x14ac:dyDescent="0.3">
      <c r="B29" s="23"/>
      <c r="C29" s="36" t="s">
        <v>19</v>
      </c>
      <c r="D29" s="3"/>
      <c r="E29" s="3"/>
      <c r="F29" s="39"/>
      <c r="G29" s="40"/>
      <c r="H29" s="18"/>
    </row>
    <row r="30" spans="2:8" x14ac:dyDescent="0.25">
      <c r="B30" s="23"/>
      <c r="C30" s="3"/>
      <c r="D30" s="3"/>
      <c r="E30" s="20"/>
      <c r="F30" s="28"/>
      <c r="G30" s="3"/>
      <c r="H30" s="18"/>
    </row>
    <row r="31" spans="2:8" x14ac:dyDescent="0.25">
      <c r="B31" s="23">
        <v>4</v>
      </c>
      <c r="C31" s="29" t="s">
        <v>23</v>
      </c>
      <c r="D31" s="3"/>
      <c r="E31" s="20"/>
      <c r="F31" s="28"/>
      <c r="G31" s="3"/>
      <c r="H31" s="18"/>
    </row>
    <row r="32" spans="2:8" x14ac:dyDescent="0.25">
      <c r="B32" s="23"/>
      <c r="C32" s="25" t="s">
        <v>24</v>
      </c>
      <c r="D32" s="20"/>
      <c r="E32" s="20"/>
      <c r="F32" s="41"/>
      <c r="G32" s="38"/>
      <c r="H32" s="18"/>
    </row>
    <row r="33" spans="2:8" x14ac:dyDescent="0.25">
      <c r="B33" s="23"/>
      <c r="C33" s="25" t="s">
        <v>25</v>
      </c>
      <c r="D33" s="20"/>
      <c r="E33" s="20"/>
      <c r="F33" s="41"/>
      <c r="G33" s="38"/>
      <c r="H33" s="18"/>
    </row>
    <row r="34" spans="2:8" x14ac:dyDescent="0.25">
      <c r="B34" s="23"/>
      <c r="C34" s="25" t="s">
        <v>26</v>
      </c>
      <c r="D34" s="20"/>
      <c r="E34" s="20"/>
      <c r="F34" s="41"/>
      <c r="G34" s="38"/>
      <c r="H34" s="18"/>
    </row>
    <row r="35" spans="2:8" x14ac:dyDescent="0.25">
      <c r="B35" s="23"/>
      <c r="C35" s="25" t="s">
        <v>27</v>
      </c>
      <c r="D35" s="20"/>
      <c r="E35" s="20"/>
      <c r="F35" s="41">
        <v>45000</v>
      </c>
      <c r="G35" s="38"/>
      <c r="H35" s="18"/>
    </row>
    <row r="36" spans="2:8" x14ac:dyDescent="0.25">
      <c r="B36" s="23"/>
      <c r="C36" s="25" t="s">
        <v>28</v>
      </c>
      <c r="D36" s="20"/>
      <c r="E36" s="20"/>
      <c r="F36" s="41"/>
      <c r="G36" s="38"/>
      <c r="H36" s="18"/>
    </row>
    <row r="37" spans="2:8" x14ac:dyDescent="0.25">
      <c r="B37" s="23"/>
      <c r="C37" s="25" t="s">
        <v>29</v>
      </c>
      <c r="D37" s="20"/>
      <c r="E37" s="20"/>
      <c r="F37" s="41"/>
      <c r="G37" s="38"/>
      <c r="H37" s="18"/>
    </row>
    <row r="38" spans="2:8" x14ac:dyDescent="0.25">
      <c r="B38" s="23"/>
      <c r="C38" s="25" t="s">
        <v>30</v>
      </c>
      <c r="D38" s="20"/>
      <c r="E38" s="20"/>
      <c r="F38" s="41"/>
      <c r="G38" s="38"/>
      <c r="H38" s="18"/>
    </row>
    <row r="39" spans="2:8" x14ac:dyDescent="0.25">
      <c r="B39" s="23"/>
      <c r="C39" s="25" t="s">
        <v>46</v>
      </c>
      <c r="D39" s="20"/>
      <c r="E39" s="20"/>
      <c r="F39" s="41"/>
      <c r="G39" s="38"/>
      <c r="H39" s="18"/>
    </row>
    <row r="40" spans="2:8" x14ac:dyDescent="0.25">
      <c r="B40" s="23"/>
      <c r="C40" s="25" t="s">
        <v>31</v>
      </c>
      <c r="D40" s="20"/>
      <c r="E40" s="20"/>
      <c r="F40" s="41"/>
      <c r="G40" s="38"/>
      <c r="H40" s="18"/>
    </row>
    <row r="41" spans="2:8" x14ac:dyDescent="0.25">
      <c r="B41" s="23"/>
      <c r="C41" s="42" t="s">
        <v>32</v>
      </c>
      <c r="D41" s="42"/>
      <c r="E41" s="3"/>
      <c r="F41" s="41"/>
      <c r="G41" s="38"/>
      <c r="H41" s="18"/>
    </row>
    <row r="42" spans="2:8" x14ac:dyDescent="0.25">
      <c r="B42" s="23"/>
      <c r="C42" s="25" t="s">
        <v>43</v>
      </c>
      <c r="D42" s="20"/>
      <c r="E42" s="3"/>
      <c r="F42" s="41"/>
      <c r="G42" s="38"/>
      <c r="H42" s="18"/>
    </row>
    <row r="43" spans="2:8" x14ac:dyDescent="0.25">
      <c r="B43" s="23"/>
      <c r="C43" s="25" t="s">
        <v>33</v>
      </c>
      <c r="D43" s="20"/>
      <c r="E43" s="3"/>
      <c r="F43" s="41"/>
      <c r="G43" s="38"/>
      <c r="H43" s="18"/>
    </row>
    <row r="44" spans="2:8" x14ac:dyDescent="0.25">
      <c r="B44" s="23"/>
      <c r="C44" s="25" t="s">
        <v>44</v>
      </c>
      <c r="D44" s="3"/>
      <c r="E44" s="3"/>
      <c r="F44" s="41"/>
      <c r="G44" s="38"/>
      <c r="H44" s="18"/>
    </row>
    <row r="45" spans="2:8" x14ac:dyDescent="0.25">
      <c r="B45" s="23"/>
      <c r="C45" s="25" t="s">
        <v>34</v>
      </c>
      <c r="D45" s="3"/>
      <c r="E45" s="3"/>
      <c r="F45" s="41"/>
      <c r="G45" s="38"/>
      <c r="H45" s="18"/>
    </row>
    <row r="46" spans="2:8" x14ac:dyDescent="0.25">
      <c r="B46" s="23"/>
      <c r="C46" s="25" t="s">
        <v>35</v>
      </c>
      <c r="D46" s="3"/>
      <c r="E46" s="3"/>
      <c r="F46" s="41"/>
      <c r="G46" s="38"/>
      <c r="H46" s="18"/>
    </row>
    <row r="47" spans="2:8" x14ac:dyDescent="0.25">
      <c r="B47" s="23"/>
      <c r="C47" s="25" t="s">
        <v>36</v>
      </c>
      <c r="D47" s="3"/>
      <c r="E47" s="3"/>
      <c r="F47" s="41"/>
      <c r="G47" s="38"/>
      <c r="H47" s="18"/>
    </row>
    <row r="48" spans="2:8" ht="15.75" thickBot="1" x14ac:dyDescent="0.3">
      <c r="B48" s="23"/>
      <c r="C48" s="3"/>
      <c r="D48" s="3"/>
      <c r="E48" s="3"/>
      <c r="F48" s="28"/>
      <c r="G48" s="3"/>
      <c r="H48" s="18"/>
    </row>
    <row r="49" spans="2:8" ht="16.5" thickBot="1" x14ac:dyDescent="0.3">
      <c r="B49" s="23"/>
      <c r="C49" s="43" t="s">
        <v>37</v>
      </c>
      <c r="D49" s="3"/>
      <c r="E49" s="3"/>
      <c r="F49" s="44">
        <v>45000</v>
      </c>
      <c r="G49" s="40"/>
      <c r="H49" s="18"/>
    </row>
    <row r="50" spans="2:8" x14ac:dyDescent="0.25">
      <c r="B50" s="23"/>
      <c r="C50" s="3"/>
      <c r="D50" s="3"/>
      <c r="E50" s="3"/>
      <c r="F50" s="28"/>
      <c r="G50" s="3"/>
      <c r="H50" s="18"/>
    </row>
    <row r="51" spans="2:8" ht="15.75" x14ac:dyDescent="0.25">
      <c r="B51" s="23">
        <v>6</v>
      </c>
      <c r="C51" s="36" t="s">
        <v>38</v>
      </c>
      <c r="D51" s="3"/>
      <c r="E51" s="3"/>
      <c r="F51" s="45">
        <v>1418100</v>
      </c>
      <c r="G51" s="46"/>
      <c r="H51" s="18"/>
    </row>
    <row r="52" spans="2:8" x14ac:dyDescent="0.25">
      <c r="B52" s="23"/>
      <c r="C52" s="25" t="s">
        <v>45</v>
      </c>
      <c r="D52" s="3"/>
      <c r="E52" s="3"/>
      <c r="F52" s="3"/>
      <c r="G52" s="47"/>
      <c r="H52" s="18"/>
    </row>
    <row r="53" spans="2:8" x14ac:dyDescent="0.25">
      <c r="B53" s="23"/>
      <c r="C53" s="3"/>
      <c r="D53" s="3"/>
      <c r="E53" s="3"/>
      <c r="F53" s="48" t="s">
        <v>10</v>
      </c>
      <c r="G53" s="3"/>
      <c r="H53" s="18"/>
    </row>
    <row r="54" spans="2:8" x14ac:dyDescent="0.25">
      <c r="B54" s="23"/>
      <c r="C54" s="20" t="s">
        <v>39</v>
      </c>
      <c r="D54" s="3"/>
      <c r="E54" s="3"/>
      <c r="F54" s="20"/>
      <c r="G54" s="20"/>
      <c r="H54" s="18"/>
    </row>
    <row r="55" spans="2:8" x14ac:dyDescent="0.25">
      <c r="B55" s="23"/>
      <c r="C55" s="3"/>
      <c r="D55" s="3"/>
      <c r="E55" s="3"/>
      <c r="F55" s="3"/>
      <c r="G55" s="3"/>
      <c r="H55" s="18"/>
    </row>
    <row r="56" spans="2:8" x14ac:dyDescent="0.25">
      <c r="B56" s="23"/>
      <c r="C56" s="20"/>
      <c r="D56" s="3"/>
      <c r="E56" s="3"/>
      <c r="F56" s="20" t="s">
        <v>40</v>
      </c>
      <c r="G56" s="3"/>
      <c r="H56" s="18"/>
    </row>
    <row r="57" spans="2:8" x14ac:dyDescent="0.25">
      <c r="B57" s="23"/>
      <c r="C57" s="3"/>
      <c r="D57" s="3"/>
      <c r="E57" s="3"/>
      <c r="F57" s="3"/>
      <c r="G57" s="3"/>
      <c r="H57" s="18"/>
    </row>
    <row r="58" spans="2:8" x14ac:dyDescent="0.25">
      <c r="B58" s="23"/>
      <c r="C58" s="3" t="s">
        <v>41</v>
      </c>
      <c r="D58" s="3"/>
      <c r="E58" s="3"/>
      <c r="F58" s="3" t="s">
        <v>42</v>
      </c>
      <c r="G58" s="49"/>
      <c r="H58" s="18"/>
    </row>
    <row r="59" spans="2:8" ht="15.75" thickBot="1" x14ac:dyDescent="0.3">
      <c r="B59" s="50"/>
      <c r="C59" s="51"/>
      <c r="D59" s="52"/>
      <c r="E59" s="52"/>
      <c r="F59" s="53"/>
      <c r="G59" s="52"/>
      <c r="H59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27 (4)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2026-05-25T15:43:48Z</dcterms:modified>
</cp:coreProperties>
</file>